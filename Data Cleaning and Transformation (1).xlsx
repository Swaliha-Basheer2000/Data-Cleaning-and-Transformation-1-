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DELL\Desktop\Entri app\Assignments\"/>
    </mc:Choice>
  </mc:AlternateContent>
  <xr:revisionPtr revIDLastSave="0" documentId="13_ncr:1_{F8E6AB23-1932-4E15-94C0-A8ED497A579E}" xr6:coauthVersionLast="37" xr6:coauthVersionMax="37" xr10:uidLastSave="{00000000-0000-0000-0000-000000000000}"/>
  <bookViews>
    <workbookView xWindow="0" yWindow="0" windowWidth="20490" windowHeight="7545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Dataset!$A$1:$F$35</definedName>
  </definedNames>
  <calcPr calcId="179021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D7" i="2"/>
  <c r="D21" i="2"/>
  <c r="D26" i="2"/>
  <c r="N2" i="2" s="1"/>
  <c r="F6" i="2"/>
  <c r="F13" i="2"/>
  <c r="F14" i="2"/>
  <c r="F24" i="2"/>
</calcChain>
</file>

<file path=xl/sharedStrings.xml><?xml version="1.0" encoding="utf-8"?>
<sst xmlns="http://schemas.openxmlformats.org/spreadsheetml/2006/main" count="151" uniqueCount="116">
  <si>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</si>
  <si>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</si>
  <si>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</si>
  <si>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</si>
  <si>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</si>
  <si>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</si>
  <si>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</si>
  <si>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</si>
  <si>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</si>
  <si>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</si>
  <si>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</si>
  <si>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</si>
  <si>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</si>
  <si>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</si>
  <si>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</si>
  <si>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</si>
  <si>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</si>
  <si>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</si>
  <si>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</si>
  <si>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</si>
  <si>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</si>
  <si>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</si>
  <si>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</si>
  <si>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</si>
  <si>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</si>
  <si>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</si>
  <si>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</si>
  <si>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</si>
  <si>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</si>
  <si>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</si>
  <si>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</si>
  <si>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</si>
  <si>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</si>
  <si>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</si>
  <si>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</si>
  <si>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</si>
  <si>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</si>
  <si>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</si>
  <si>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</si>
  <si>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</si>
  <si>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</si>
  <si>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</si>
  <si>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</si>
  <si>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</si>
  <si>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</si>
  <si>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</si>
  <si>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</si>
  <si>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</si>
  <si>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</si>
  <si>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</si>
  <si>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</si>
  <si>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</si>
  <si>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</si>
  <si>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</si>
  <si>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</si>
  <si>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</si>
  <si>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</si>
  <si>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</si>
  <si>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</si>
  <si>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</si>
  <si>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</si>
  <si>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</si>
  <si>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</si>
  <si>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</si>
  <si>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</si>
  <si>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</si>
  <si>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</si>
  <si>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</si>
  <si>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</si>
  <si>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</si>
  <si>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</si>
  <si>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</si>
  <si>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</si>
  <si>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</si>
  <si>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</si>
  <si>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</si>
  <si>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</si>
  <si>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</si>
  <si>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</si>
  <si>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</si>
  <si>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</si>
  <si>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</si>
  <si>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</si>
  <si>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</si>
  <si>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</si>
  <si>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</si>
  <si>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</si>
  <si>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</si>
  <si>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</si>
  <si>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</si>
  <si>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</si>
  <si>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</si>
  <si>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</si>
  <si>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</si>
  <si>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</si>
  <si>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</si>
  <si>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</si>
  <si>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</si>
  <si>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</si>
  <si>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</si>
  <si>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</si>
  <si>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</si>
  <si>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</si>
  <si>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</si>
  <si>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</si>
  <si>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</si>
  <si>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</si>
  <si>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</si>
  <si>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</si>
  <si>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</si>
  <si>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</si>
  <si>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Mean of Price</t>
  </si>
  <si>
    <t>T-Shirt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</si>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</sst>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7" formatCode="[$-F800]dddd\,\ mmmm\ dd\,\ yyyy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6" fontId="7" fillId="2" borderId="0" xfId="0" applyNumberFormat="1" applyFont="1" applyFill="1" applyAlignment="1">
      <alignment horizontal="center"/>
    </xf>
    <xf numFmtId="14" fontId="0" fillId="0" borderId="0" xfId="0" applyNumberFormat="1" applyFont="1" applyAlignment="1"/>
    <xf numFmtId="167" fontId="7" fillId="2" borderId="0" xfId="0" applyNumberFormat="1" applyFont="1" applyFill="1" applyAlignment="1">
      <alignment horizontal="center"/>
    </xf>
    <xf numFmtId="167" fontId="0" fillId="0" borderId="0" xfId="0" applyNumberFormat="1" applyFont="1" applyAlignment="1"/>
    <xf numFmtId="166" fontId="5" fillId="0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B23" sqref="B23:K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L2" sqref="L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" customWidth="1"/>
    <col min="8" max="8" width="14.28515625" customWidth="1"/>
    <col min="9" max="9" width="23.710937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12" t="s">
        <v>22</v>
      </c>
      <c r="E1" s="9" t="s">
        <v>23</v>
      </c>
      <c r="F1" s="9" t="s">
        <v>24</v>
      </c>
      <c r="G1" s="14" t="s">
        <v>113</v>
      </c>
      <c r="H1" s="9" t="s">
        <v>114</v>
      </c>
      <c r="I1" s="9" t="s">
        <v>115</v>
      </c>
      <c r="L1" t="s">
        <v>24</v>
      </c>
      <c r="N1" s="9" t="s">
        <v>111</v>
      </c>
    </row>
    <row r="2" spans="1:16" ht="15.75" customHeight="1" x14ac:dyDescent="0.2">
      <c r="A2" s="10" t="s">
        <v>25</v>
      </c>
      <c r="B2" t="s">
        <v>57</v>
      </c>
      <c r="C2" s="10" t="s">
        <v>26</v>
      </c>
      <c r="D2" s="16">
        <v>1000</v>
      </c>
      <c r="E2" s="10">
        <v>30</v>
      </c>
      <c r="F2" s="10" t="s">
        <v>27</v>
      </c>
      <c r="G2" s="13" t="str">
        <f>LEFT(A2,6)</f>
        <v>28-JAN</v>
      </c>
      <c r="H2" t="str">
        <f>RIGHT(A2,2)</f>
        <v>US</v>
      </c>
      <c r="I2" t="str">
        <f>_xlfn.CONCAT(Dataset!C2," ",Dataset!B2)</f>
        <v>Dell Laptop</v>
      </c>
      <c r="L2" t="s">
        <v>27</v>
      </c>
      <c r="N2">
        <f>AVERAGE(D2:D35)</f>
        <v>298.96935483870971</v>
      </c>
    </row>
    <row r="3" spans="1:16" ht="15.75" customHeight="1" x14ac:dyDescent="0.2">
      <c r="A3" s="11" t="s">
        <v>28</v>
      </c>
      <c r="B3" t="s">
        <v>29</v>
      </c>
      <c r="C3" s="11" t="s">
        <v>30</v>
      </c>
      <c r="D3" s="16">
        <v>80</v>
      </c>
      <c r="E3" s="11">
        <v>15</v>
      </c>
      <c r="F3" s="11" t="s">
        <v>31</v>
      </c>
      <c r="G3" s="15" t="str">
        <f t="shared" ref="G3:G32" si="0">LEFT(A3,6)</f>
        <v>15-FEB</v>
      </c>
      <c r="H3" t="str">
        <f t="shared" ref="H3:H32" si="1">RIGHT(A3,2)</f>
        <v>US</v>
      </c>
      <c r="I3" t="str">
        <f>_xlfn.CONCAT(Dataset!C3," ",Dataset!B3)</f>
        <v>Nike Sneakers</v>
      </c>
      <c r="J3" t="str">
        <f>LEFT(J4)</f>
        <v/>
      </c>
      <c r="P3" s="6"/>
    </row>
    <row r="4" spans="1:16" ht="15.75" customHeight="1" x14ac:dyDescent="0.2">
      <c r="A4" s="10" t="s">
        <v>32</v>
      </c>
      <c r="B4" t="s">
        <v>33</v>
      </c>
      <c r="C4" s="10" t="s">
        <v>34</v>
      </c>
      <c r="D4" s="16">
        <v>130</v>
      </c>
      <c r="E4" s="10">
        <v>40</v>
      </c>
      <c r="F4" s="10" t="s">
        <v>35</v>
      </c>
      <c r="G4" s="15" t="str">
        <f t="shared" si="0"/>
        <v>03-MAR</v>
      </c>
      <c r="H4" t="str">
        <f t="shared" si="1"/>
        <v>US</v>
      </c>
      <c r="I4" t="str">
        <f>_xlfn.CONCAT(Dataset!C4," ",Dataset!B4)</f>
        <v>Keurig Coffee Maker</v>
      </c>
      <c r="P4" s="6"/>
    </row>
    <row r="5" spans="1:16" ht="15.75" customHeight="1" x14ac:dyDescent="0.2">
      <c r="A5" s="11" t="s">
        <v>36</v>
      </c>
      <c r="B5" t="s">
        <v>91</v>
      </c>
      <c r="C5" s="11" t="s">
        <v>37</v>
      </c>
      <c r="D5" s="16">
        <v>900</v>
      </c>
      <c r="E5" s="11">
        <v>25</v>
      </c>
      <c r="F5" s="11" t="s">
        <v>27</v>
      </c>
      <c r="G5" s="15" t="str">
        <f t="shared" si="0"/>
        <v>11-APR</v>
      </c>
      <c r="H5" t="str">
        <f t="shared" si="1"/>
        <v>US</v>
      </c>
      <c r="I5" t="str">
        <f>_xlfn.CONCAT(Dataset!C5," ",Dataset!B5)</f>
        <v>Samsung Smartphone</v>
      </c>
      <c r="P5" s="6"/>
    </row>
    <row r="6" spans="1:16" ht="15.75" customHeight="1" x14ac:dyDescent="0.2">
      <c r="A6" s="10" t="s">
        <v>38</v>
      </c>
      <c r="B6" t="s">
        <v>39</v>
      </c>
      <c r="C6" s="10" t="s">
        <v>40</v>
      </c>
      <c r="D6" s="16">
        <v>70</v>
      </c>
      <c r="E6" s="10">
        <v>20</v>
      </c>
      <c r="F6" s="10" t="str">
        <f>"Unknown"</f>
        <v>Unknown</v>
      </c>
      <c r="G6" s="15" t="str">
        <f t="shared" si="0"/>
        <v>22-MAY</v>
      </c>
      <c r="H6" t="str">
        <f t="shared" si="1"/>
        <v>US</v>
      </c>
      <c r="I6" t="str">
        <f>_xlfn.CONCAT(Dataset!C6," ",Dataset!B6)</f>
        <v>North Face Backpack</v>
      </c>
    </row>
    <row r="7" spans="1:16" ht="15.75" customHeight="1" x14ac:dyDescent="0.2">
      <c r="A7" s="11" t="s">
        <v>41</v>
      </c>
      <c r="B7" t="s">
        <v>42</v>
      </c>
      <c r="C7" s="11" t="s">
        <v>43</v>
      </c>
      <c r="D7" s="16">
        <f>309.35</f>
        <v>309.35000000000002</v>
      </c>
      <c r="E7" s="11">
        <v>45</v>
      </c>
      <c r="F7" s="11" t="s">
        <v>27</v>
      </c>
      <c r="G7" s="15" t="str">
        <f t="shared" si="0"/>
        <v>07-JUN</v>
      </c>
      <c r="H7" t="str">
        <f t="shared" si="1"/>
        <v>UK</v>
      </c>
      <c r="I7" t="str">
        <f>_xlfn.CONCAT(Dataset!C7," ",Dataset!B7)</f>
        <v>Sony Headphones</v>
      </c>
    </row>
    <row r="8" spans="1:16" ht="15.75" customHeight="1" x14ac:dyDescent="0.2">
      <c r="A8" s="10" t="s">
        <v>44</v>
      </c>
      <c r="B8" t="s">
        <v>112</v>
      </c>
      <c r="C8" s="10" t="s">
        <v>45</v>
      </c>
      <c r="D8" s="16">
        <v>30</v>
      </c>
      <c r="E8" s="10">
        <v>5</v>
      </c>
      <c r="F8" s="10" t="s">
        <v>31</v>
      </c>
      <c r="G8" s="15" t="str">
        <f t="shared" si="0"/>
        <v>19-JUL</v>
      </c>
      <c r="H8" t="str">
        <f t="shared" si="1"/>
        <v>UK</v>
      </c>
      <c r="I8" t="str">
        <f>_xlfn.CONCAT(Dataset!C8," ",Dataset!B8)</f>
        <v>Adidas T-Shirt</v>
      </c>
    </row>
    <row r="9" spans="1:16" ht="15.75" customHeight="1" x14ac:dyDescent="0.2">
      <c r="A9" s="11" t="s">
        <v>46</v>
      </c>
      <c r="B9" t="s">
        <v>47</v>
      </c>
      <c r="C9" s="11" t="s">
        <v>48</v>
      </c>
      <c r="D9" s="16">
        <v>90</v>
      </c>
      <c r="E9" s="11">
        <v>35</v>
      </c>
      <c r="F9" s="11" t="s">
        <v>35</v>
      </c>
      <c r="G9" s="15" t="str">
        <f t="shared" si="0"/>
        <v>23-AUG</v>
      </c>
      <c r="H9" t="str">
        <f t="shared" si="1"/>
        <v>UK</v>
      </c>
      <c r="I9" t="str">
        <f>_xlfn.CONCAT(Dataset!C9," ",Dataset!B9)</f>
        <v>Ninja Blender</v>
      </c>
    </row>
    <row r="10" spans="1:16" ht="15.75" customHeight="1" x14ac:dyDescent="0.2">
      <c r="A10" s="10" t="s">
        <v>49</v>
      </c>
      <c r="B10" t="s">
        <v>50</v>
      </c>
      <c r="C10" s="10" t="s">
        <v>51</v>
      </c>
      <c r="D10" s="16">
        <v>500</v>
      </c>
      <c r="E10" s="10">
        <v>50</v>
      </c>
      <c r="F10" s="10" t="s">
        <v>27</v>
      </c>
      <c r="G10" s="15" t="str">
        <f t="shared" si="0"/>
        <v>05-SEP</v>
      </c>
      <c r="H10" t="str">
        <f t="shared" si="1"/>
        <v>UK</v>
      </c>
      <c r="I10" t="str">
        <f>_xlfn.CONCAT(Dataset!C10," ",Dataset!B10)</f>
        <v>Apple Tablet</v>
      </c>
    </row>
    <row r="11" spans="1:16" ht="15.75" customHeight="1" x14ac:dyDescent="0.2">
      <c r="A11" s="11" t="s">
        <v>52</v>
      </c>
      <c r="B11" t="s">
        <v>53</v>
      </c>
      <c r="C11" s="11" t="s">
        <v>54</v>
      </c>
      <c r="D11" s="16">
        <v>130</v>
      </c>
      <c r="E11" s="11">
        <v>10</v>
      </c>
      <c r="F11" s="11" t="s">
        <v>55</v>
      </c>
      <c r="G11" s="15" t="str">
        <f t="shared" si="0"/>
        <v>14-OCT</v>
      </c>
      <c r="H11" t="str">
        <f t="shared" si="1"/>
        <v>UK</v>
      </c>
      <c r="I11" t="str">
        <f>_xlfn.CONCAT(Dataset!C11," ",Dataset!B11)</f>
        <v>Timberland Hiking Boots</v>
      </c>
    </row>
    <row r="12" spans="1:16" ht="15.75" customHeight="1" x14ac:dyDescent="0.2">
      <c r="A12" s="10" t="s">
        <v>56</v>
      </c>
      <c r="B12" t="s">
        <v>57</v>
      </c>
      <c r="C12" s="10" t="s">
        <v>58</v>
      </c>
      <c r="D12" s="16">
        <v>950</v>
      </c>
      <c r="E12" s="10">
        <v>25</v>
      </c>
      <c r="F12" s="10" t="s">
        <v>27</v>
      </c>
      <c r="G12" s="15" t="str">
        <f t="shared" si="0"/>
        <v>17-JUN</v>
      </c>
      <c r="H12" t="str">
        <f t="shared" si="1"/>
        <v>IN</v>
      </c>
      <c r="I12" t="str">
        <f>_xlfn.CONCAT(Dataset!C12," ",Dataset!B12)</f>
        <v>HP Laptop</v>
      </c>
    </row>
    <row r="13" spans="1:16" ht="15.75" customHeight="1" x14ac:dyDescent="0.2">
      <c r="A13" s="11" t="s">
        <v>59</v>
      </c>
      <c r="B13" t="s">
        <v>29</v>
      </c>
      <c r="C13" s="11" t="s">
        <v>45</v>
      </c>
      <c r="D13" s="16">
        <v>90</v>
      </c>
      <c r="E13" s="11">
        <v>40</v>
      </c>
      <c r="F13" s="11" t="str">
        <f>"Unknown"</f>
        <v>Unknown</v>
      </c>
      <c r="G13" s="15" t="str">
        <f t="shared" si="0"/>
        <v>25-NOV</v>
      </c>
      <c r="H13" t="str">
        <f t="shared" si="1"/>
        <v>AU</v>
      </c>
      <c r="I13" t="str">
        <f>_xlfn.CONCAT(Dataset!C13," ",Dataset!B13)</f>
        <v>Adidas Sneakers</v>
      </c>
    </row>
    <row r="14" spans="1:16" ht="15.75" customHeight="1" x14ac:dyDescent="0.2">
      <c r="A14" s="10" t="s">
        <v>60</v>
      </c>
      <c r="B14" t="s">
        <v>33</v>
      </c>
      <c r="C14" s="10" t="s">
        <v>61</v>
      </c>
      <c r="D14" s="16">
        <v>120</v>
      </c>
      <c r="E14" s="10">
        <v>35</v>
      </c>
      <c r="F14" s="10" t="str">
        <f>"Unknown"</f>
        <v>Unknown</v>
      </c>
      <c r="G14" s="15" t="str">
        <f t="shared" si="0"/>
        <v>08-DEC</v>
      </c>
      <c r="H14" t="str">
        <f t="shared" si="1"/>
        <v>DE</v>
      </c>
      <c r="I14" t="str">
        <f>_xlfn.CONCAT(Dataset!C14," ",Dataset!B14)</f>
        <v>Nespresso Coffee Maker</v>
      </c>
    </row>
    <row r="15" spans="1:16" ht="15.75" customHeight="1" x14ac:dyDescent="0.2">
      <c r="A15" s="11" t="s">
        <v>62</v>
      </c>
      <c r="B15" t="s">
        <v>63</v>
      </c>
      <c r="C15" s="11" t="s">
        <v>64</v>
      </c>
      <c r="D15" s="16">
        <v>150</v>
      </c>
      <c r="E15" s="11">
        <v>15</v>
      </c>
      <c r="F15" s="11" t="s">
        <v>27</v>
      </c>
      <c r="G15" s="15" t="str">
        <f t="shared" si="0"/>
        <v>18-FEB</v>
      </c>
      <c r="H15" t="str">
        <f t="shared" si="1"/>
        <v>CA</v>
      </c>
      <c r="I15" t="str">
        <f>_xlfn.CONCAT(Dataset!C15," ",Dataset!B15)</f>
        <v>Fitbit Smartwatch</v>
      </c>
    </row>
    <row r="16" spans="1:16" ht="15.75" customHeight="1" x14ac:dyDescent="0.2">
      <c r="A16" s="10" t="s">
        <v>65</v>
      </c>
      <c r="B16" t="s">
        <v>42</v>
      </c>
      <c r="C16" s="10" t="s">
        <v>66</v>
      </c>
      <c r="D16" s="16">
        <v>250</v>
      </c>
      <c r="E16" s="10">
        <v>20</v>
      </c>
      <c r="F16" s="10" t="s">
        <v>27</v>
      </c>
      <c r="G16" s="15" t="str">
        <f t="shared" si="0"/>
        <v>16-APR</v>
      </c>
      <c r="H16" t="str">
        <f t="shared" si="1"/>
        <v>ES</v>
      </c>
      <c r="I16" t="str">
        <f>_xlfn.CONCAT(Dataset!C16," ",Dataset!B16)</f>
        <v>Bose Headphones</v>
      </c>
    </row>
    <row r="17" spans="1:9" ht="15.75" customHeight="1" x14ac:dyDescent="0.2">
      <c r="A17" s="11" t="s">
        <v>67</v>
      </c>
      <c r="B17" t="s">
        <v>68</v>
      </c>
      <c r="C17" s="11" t="s">
        <v>69</v>
      </c>
      <c r="D17" s="16">
        <v>50</v>
      </c>
      <c r="E17" s="11">
        <v>35</v>
      </c>
      <c r="F17" s="11" t="s">
        <v>70</v>
      </c>
      <c r="G17" s="15" t="str">
        <f t="shared" si="0"/>
        <v>21-AUG</v>
      </c>
      <c r="H17" t="str">
        <f t="shared" si="1"/>
        <v>CA</v>
      </c>
      <c r="I17" t="str">
        <f>_xlfn.CONCAT(Dataset!C17," ",Dataset!B17)</f>
        <v>Samsonite Laptop Bag</v>
      </c>
    </row>
    <row r="18" spans="1:9" ht="15.75" customHeight="1" x14ac:dyDescent="0.2">
      <c r="A18" s="10" t="s">
        <v>71</v>
      </c>
      <c r="B18" t="s">
        <v>63</v>
      </c>
      <c r="C18" s="10" t="s">
        <v>72</v>
      </c>
      <c r="D18" s="16">
        <v>160</v>
      </c>
      <c r="E18" s="10">
        <v>15</v>
      </c>
      <c r="F18" s="10" t="s">
        <v>27</v>
      </c>
      <c r="G18" s="15" t="str">
        <f t="shared" si="0"/>
        <v>20-AUG</v>
      </c>
      <c r="H18" t="str">
        <f t="shared" si="1"/>
        <v>CN</v>
      </c>
      <c r="I18" t="str">
        <f>_xlfn.CONCAT(Dataset!C18," ",Dataset!B18)</f>
        <v>Huawei Smartwatch</v>
      </c>
    </row>
    <row r="19" spans="1:9" ht="15.75" customHeight="1" x14ac:dyDescent="0.2">
      <c r="A19" s="11" t="s">
        <v>73</v>
      </c>
      <c r="B19" t="s">
        <v>57</v>
      </c>
      <c r="C19" s="11" t="s">
        <v>74</v>
      </c>
      <c r="D19" s="16">
        <v>980</v>
      </c>
      <c r="E19" s="11">
        <v>10</v>
      </c>
      <c r="F19" s="11" t="s">
        <v>27</v>
      </c>
      <c r="G19" s="15" t="str">
        <f t="shared" si="0"/>
        <v>27-JAN</v>
      </c>
      <c r="H19" t="str">
        <f t="shared" si="1"/>
        <v>IT</v>
      </c>
      <c r="I19" t="str">
        <f>_xlfn.CONCAT(Dataset!C19," ",Dataset!B19)</f>
        <v>Asus Laptop</v>
      </c>
    </row>
    <row r="20" spans="1:9" ht="15.75" customHeight="1" x14ac:dyDescent="0.2">
      <c r="A20" s="10" t="s">
        <v>75</v>
      </c>
      <c r="B20" t="s">
        <v>76</v>
      </c>
      <c r="C20" s="10" t="s">
        <v>77</v>
      </c>
      <c r="D20" s="16">
        <v>150</v>
      </c>
      <c r="E20" s="10">
        <v>15</v>
      </c>
      <c r="F20" s="10" t="s">
        <v>31</v>
      </c>
      <c r="G20" s="15" t="str">
        <f t="shared" si="0"/>
        <v>01-MAR</v>
      </c>
      <c r="H20" t="str">
        <f t="shared" si="1"/>
        <v>UK</v>
      </c>
      <c r="I20" t="str">
        <f>_xlfn.CONCAT(Dataset!C20," ",Dataset!B20)</f>
        <v>Oakley Sunglasses</v>
      </c>
    </row>
    <row r="21" spans="1:9" ht="15.75" customHeight="1" x14ac:dyDescent="0.2">
      <c r="A21" s="11" t="s">
        <v>78</v>
      </c>
      <c r="B21" t="s">
        <v>79</v>
      </c>
      <c r="C21" s="11" t="s">
        <v>80</v>
      </c>
      <c r="D21" s="16">
        <f>309.35</f>
        <v>309.35000000000002</v>
      </c>
      <c r="E21" s="11">
        <v>10</v>
      </c>
      <c r="F21" s="11" t="s">
        <v>55</v>
      </c>
      <c r="G21" s="15" t="str">
        <f t="shared" si="0"/>
        <v>14-AUG</v>
      </c>
      <c r="H21" t="str">
        <f t="shared" si="1"/>
        <v>US</v>
      </c>
      <c r="I21" t="str">
        <f>_xlfn.CONCAT(Dataset!C21," ",Dataset!B21)</f>
        <v>Coleman Camping Tent</v>
      </c>
    </row>
    <row r="22" spans="1:9" ht="15.75" customHeight="1" x14ac:dyDescent="0.2">
      <c r="A22" s="10" t="s">
        <v>81</v>
      </c>
      <c r="B22" t="s">
        <v>82</v>
      </c>
      <c r="C22" s="10" t="s">
        <v>83</v>
      </c>
      <c r="D22" s="16">
        <v>700</v>
      </c>
      <c r="E22" s="10">
        <v>50</v>
      </c>
      <c r="F22" s="10" t="s">
        <v>27</v>
      </c>
      <c r="G22" s="15" t="str">
        <f t="shared" si="0"/>
        <v>14-MAY</v>
      </c>
      <c r="H22" t="str">
        <f t="shared" si="1"/>
        <v>RU</v>
      </c>
      <c r="I22" t="str">
        <f>_xlfn.CONCAT(Dataset!C22," ",Dataset!B22)</f>
        <v>Nikon Camera</v>
      </c>
    </row>
    <row r="23" spans="1:9" ht="15.75" customHeight="1" x14ac:dyDescent="0.2">
      <c r="A23" s="11" t="s">
        <v>84</v>
      </c>
      <c r="B23" t="s">
        <v>85</v>
      </c>
      <c r="C23" s="11" t="s">
        <v>86</v>
      </c>
      <c r="D23" s="16">
        <v>80</v>
      </c>
      <c r="E23" s="11">
        <v>20</v>
      </c>
      <c r="F23" s="11" t="s">
        <v>35</v>
      </c>
      <c r="G23" s="15" t="str">
        <f t="shared" si="0"/>
        <v>09-JAN</v>
      </c>
      <c r="H23" t="str">
        <f t="shared" si="1"/>
        <v>CA</v>
      </c>
      <c r="I23" t="str">
        <f>_xlfn.CONCAT(Dataset!C23," ",Dataset!B23)</f>
        <v>Panasonic Microwave</v>
      </c>
    </row>
    <row r="24" spans="1:9" ht="15.75" customHeight="1" x14ac:dyDescent="0.2">
      <c r="A24" s="10" t="s">
        <v>87</v>
      </c>
      <c r="B24" t="s">
        <v>88</v>
      </c>
      <c r="C24" s="10" t="s">
        <v>89</v>
      </c>
      <c r="D24" s="16">
        <v>150</v>
      </c>
      <c r="E24" s="10">
        <v>30</v>
      </c>
      <c r="F24" s="10" t="str">
        <f>"Unknown"</f>
        <v>Unknown</v>
      </c>
      <c r="G24" s="15" t="str">
        <f t="shared" si="0"/>
        <v>19-JUL</v>
      </c>
      <c r="H24" t="str">
        <f t="shared" si="1"/>
        <v>BR</v>
      </c>
      <c r="I24" t="str">
        <f>_xlfn.CONCAT(Dataset!C24," ",Dataset!B24)</f>
        <v>Xiaomi Fitness Tracker</v>
      </c>
    </row>
    <row r="25" spans="1:9" ht="15.75" customHeight="1" x14ac:dyDescent="0.2">
      <c r="A25" s="10" t="s">
        <v>90</v>
      </c>
      <c r="B25" t="s">
        <v>91</v>
      </c>
      <c r="C25" s="10" t="s">
        <v>92</v>
      </c>
      <c r="D25" s="16">
        <v>800</v>
      </c>
      <c r="E25" s="10">
        <v>45</v>
      </c>
      <c r="F25" s="10" t="s">
        <v>27</v>
      </c>
      <c r="G25" s="15" t="str">
        <f t="shared" si="0"/>
        <v>29-SEP</v>
      </c>
      <c r="H25" t="str">
        <f t="shared" si="1"/>
        <v>CA</v>
      </c>
      <c r="I25" t="str">
        <f>_xlfn.CONCAT(Dataset!C25," ",Dataset!B25)</f>
        <v>Google Smartphone</v>
      </c>
    </row>
    <row r="26" spans="1:9" ht="15.75" customHeight="1" x14ac:dyDescent="0.2">
      <c r="A26" s="11" t="s">
        <v>93</v>
      </c>
      <c r="B26" t="s">
        <v>76</v>
      </c>
      <c r="C26" s="11" t="s">
        <v>94</v>
      </c>
      <c r="D26" s="16">
        <f>309.35</f>
        <v>309.35000000000002</v>
      </c>
      <c r="E26" s="11">
        <v>25</v>
      </c>
      <c r="F26" s="11" t="s">
        <v>31</v>
      </c>
      <c r="G26" s="15" t="str">
        <f t="shared" si="0"/>
        <v>03-JUN</v>
      </c>
      <c r="H26" t="str">
        <f t="shared" si="1"/>
        <v>CA</v>
      </c>
      <c r="I26" t="str">
        <f>_xlfn.CONCAT(Dataset!C26," ",Dataset!B26)</f>
        <v>Ray-Ban Sunglasses</v>
      </c>
    </row>
    <row r="27" spans="1:9" ht="15.75" customHeight="1" x14ac:dyDescent="0.2">
      <c r="A27" s="10" t="s">
        <v>95</v>
      </c>
      <c r="B27" t="s">
        <v>47</v>
      </c>
      <c r="C27" s="10" t="s">
        <v>96</v>
      </c>
      <c r="D27" s="16">
        <v>400</v>
      </c>
      <c r="E27" s="10">
        <v>40</v>
      </c>
      <c r="F27" s="10" t="s">
        <v>35</v>
      </c>
      <c r="G27" s="15" t="str">
        <f t="shared" si="0"/>
        <v>11-JUL</v>
      </c>
      <c r="H27" t="str">
        <f t="shared" si="1"/>
        <v>CA</v>
      </c>
      <c r="I27" t="str">
        <f>_xlfn.CONCAT(Dataset!C27," ",Dataset!B27)</f>
        <v>Vitamix Blender</v>
      </c>
    </row>
    <row r="28" spans="1:9" ht="15.75" customHeight="1" x14ac:dyDescent="0.2">
      <c r="A28" s="10" t="s">
        <v>97</v>
      </c>
      <c r="B28" t="s">
        <v>98</v>
      </c>
      <c r="C28" s="10" t="s">
        <v>99</v>
      </c>
      <c r="D28" s="16">
        <v>60</v>
      </c>
      <c r="E28" s="10">
        <v>30</v>
      </c>
      <c r="F28" s="10" t="s">
        <v>31</v>
      </c>
      <c r="G28" s="15" t="str">
        <f t="shared" si="0"/>
        <v>07-MAR</v>
      </c>
      <c r="H28" t="str">
        <f t="shared" si="1"/>
        <v>CA</v>
      </c>
      <c r="I28" t="str">
        <f>_xlfn.CONCAT(Dataset!C28," ",Dataset!B28)</f>
        <v>Zara Dress</v>
      </c>
    </row>
    <row r="29" spans="1:9" ht="15.75" customHeight="1" x14ac:dyDescent="0.2">
      <c r="A29" s="11" t="s">
        <v>100</v>
      </c>
      <c r="B29" t="s">
        <v>101</v>
      </c>
      <c r="C29" s="11" t="s">
        <v>102</v>
      </c>
      <c r="D29" s="16">
        <v>40</v>
      </c>
      <c r="E29" s="11">
        <v>10</v>
      </c>
      <c r="F29" s="11" t="s">
        <v>35</v>
      </c>
      <c r="G29" s="15" t="str">
        <f t="shared" si="0"/>
        <v>13-APR</v>
      </c>
      <c r="H29" t="str">
        <f t="shared" si="1"/>
        <v>CA</v>
      </c>
      <c r="I29" t="str">
        <f>_xlfn.CONCAT(Dataset!C29," ",Dataset!B29)</f>
        <v>Hamilton Toaster</v>
      </c>
    </row>
    <row r="30" spans="1:9" ht="15.75" customHeight="1" x14ac:dyDescent="0.2">
      <c r="A30" s="10" t="s">
        <v>103</v>
      </c>
      <c r="B30" t="s">
        <v>88</v>
      </c>
      <c r="C30" s="10" t="s">
        <v>104</v>
      </c>
      <c r="D30" s="16">
        <v>130</v>
      </c>
      <c r="E30" s="10">
        <v>5</v>
      </c>
      <c r="F30" s="10" t="s">
        <v>27</v>
      </c>
      <c r="G30" s="15" t="str">
        <f t="shared" si="0"/>
        <v>24-MAY</v>
      </c>
      <c r="H30" t="str">
        <f t="shared" si="1"/>
        <v>CA</v>
      </c>
      <c r="I30" t="str">
        <f>_xlfn.CONCAT(Dataset!C30," ",Dataset!B30)</f>
        <v>Garmin Fitness Tracker</v>
      </c>
    </row>
    <row r="31" spans="1:9" ht="15.75" customHeight="1" x14ac:dyDescent="0.2">
      <c r="A31" s="11" t="s">
        <v>105</v>
      </c>
      <c r="B31" t="s">
        <v>106</v>
      </c>
      <c r="C31" s="11" t="s">
        <v>107</v>
      </c>
      <c r="D31" s="16">
        <v>50</v>
      </c>
      <c r="E31" s="11">
        <v>50</v>
      </c>
      <c r="F31" s="11" t="s">
        <v>31</v>
      </c>
      <c r="G31" s="15" t="str">
        <f t="shared" si="0"/>
        <v>02-DEC</v>
      </c>
      <c r="H31" t="str">
        <f t="shared" si="1"/>
        <v>CA</v>
      </c>
      <c r="I31" t="str">
        <f>_xlfn.CONCAT(Dataset!C31," ",Dataset!B31)</f>
        <v>Levi's Jeans</v>
      </c>
    </row>
    <row r="32" spans="1:9" ht="15.75" customHeight="1" x14ac:dyDescent="0.2">
      <c r="A32" s="11" t="s">
        <v>108</v>
      </c>
      <c r="B32" t="s">
        <v>109</v>
      </c>
      <c r="C32" s="11" t="s">
        <v>110</v>
      </c>
      <c r="D32" s="16">
        <v>100</v>
      </c>
      <c r="E32" s="11">
        <v>20</v>
      </c>
      <c r="F32" s="11" t="s">
        <v>70</v>
      </c>
      <c r="G32" s="15" t="str">
        <f t="shared" si="0"/>
        <v>09-JUL</v>
      </c>
      <c r="H32" t="str">
        <f t="shared" si="1"/>
        <v>FR</v>
      </c>
      <c r="I32" t="str">
        <f>_xlfn.CONCAT(Dataset!C32," ",Dataset!B32)</f>
        <v>Casio Watch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2:D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{5A32E064-EC14-46E8-8F3D-5E4CA47272EF}</x14:id>
        </ext>
      </extLst>
    </cfRule>
  </conditionalFormatting>
  <conditionalFormatting sqref="F1:F32">
    <cfRule type="cellIs" dxfId="0" priority="1" operator="equal">
      <formula>$L$2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32E064-EC14-46E8-8F3D-5E4CA47272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2026-09-24T01:51:02Z</dcterms:created>
  <dcterms:modified xsi:type="dcterms:W3CDTF">2026-09-24T03:30:31Z</dcterms:modified>
</cp:coreProperties>
</file>